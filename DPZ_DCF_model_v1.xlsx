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be9f56feda10ab/Pictures/Desktop/"/>
    </mc:Choice>
  </mc:AlternateContent>
  <xr:revisionPtr revIDLastSave="0" documentId="14_{3CB912EF-D1EB-4366-9F60-B995865427A6}" xr6:coauthVersionLast="47" xr6:coauthVersionMax="47" xr10:uidLastSave="{00000000-0000-0000-0000-000000000000}"/>
  <bookViews>
    <workbookView xWindow="2590" yWindow="340" windowWidth="16800" windowHeight="9670" xr2:uid="{68E3EFA8-1ECF-4B3E-A9A1-5E459B9F87C8}"/>
  </bookViews>
  <sheets>
    <sheet name="Income Statemen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I8" i="1"/>
  <c r="H8" i="1"/>
  <c r="G8" i="1"/>
  <c r="F8" i="1"/>
  <c r="E8" i="1"/>
  <c r="E3" i="1"/>
  <c r="E7" i="1" s="1"/>
  <c r="E12" i="1" s="1"/>
  <c r="C11" i="1"/>
  <c r="D11" i="1"/>
  <c r="B11" i="1"/>
  <c r="C10" i="1"/>
  <c r="D10" i="1"/>
  <c r="B10" i="1"/>
  <c r="C9" i="1"/>
  <c r="D9" i="1"/>
  <c r="B9" i="1"/>
  <c r="F3" i="1" l="1"/>
  <c r="F7" i="1" l="1"/>
  <c r="F12" i="1" s="1"/>
  <c r="G3" i="1"/>
  <c r="G7" i="1" l="1"/>
  <c r="G12" i="1" s="1"/>
  <c r="H3" i="1"/>
  <c r="I3" i="1" l="1"/>
  <c r="I7" i="1" s="1"/>
  <c r="H7" i="1"/>
  <c r="H12" i="1" s="1"/>
  <c r="I12" i="1" l="1"/>
  <c r="B13" i="1" s="1"/>
  <c r="B16" i="1" l="1"/>
</calcChain>
</file>

<file path=xl/sharedStrings.xml><?xml version="1.0" encoding="utf-8"?>
<sst xmlns="http://schemas.openxmlformats.org/spreadsheetml/2006/main" count="20" uniqueCount="20">
  <si>
    <t xml:space="preserve">Total Revenues </t>
  </si>
  <si>
    <t>Net Income</t>
  </si>
  <si>
    <t>Total Cost of Sales</t>
  </si>
  <si>
    <t>Gross Margin</t>
  </si>
  <si>
    <t>Income from Operations</t>
  </si>
  <si>
    <t>Gross Margin %</t>
  </si>
  <si>
    <t>Operating Margin %</t>
  </si>
  <si>
    <t>Net Profit Margin %</t>
  </si>
  <si>
    <t xml:space="preserve">Discount Factor </t>
  </si>
  <si>
    <t>Present Value</t>
  </si>
  <si>
    <t>Sum of Present Values</t>
  </si>
  <si>
    <t>Terminal Value</t>
  </si>
  <si>
    <t>Present Value of TV</t>
  </si>
  <si>
    <t>Total estimate value of Domino's</t>
  </si>
  <si>
    <t>Domino's Pizza - DCF Model Valuation</t>
  </si>
  <si>
    <t>Assumptions:</t>
  </si>
  <si>
    <t>Revenue Growth</t>
  </si>
  <si>
    <t>Net Margin</t>
  </si>
  <si>
    <t xml:space="preserve">Discount Rate </t>
  </si>
  <si>
    <t>Terminal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</si>
</sst>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3" fontId="0" fillId="0" borderId="1" xfId="0" applyNumberFormat="1" applyBorder="1"/>
    <xf numFmtId="3" fontId="2" fillId="0" borderId="1" xfId="0" applyNumberFormat="1" applyFont="1" applyBorder="1"/>
    <xf numFmtId="10" fontId="0" fillId="0" borderId="1" xfId="1" applyNumberFormat="1" applyFont="1" applyBorder="1"/>
    <xf numFmtId="4" fontId="0" fillId="0" borderId="1" xfId="0" applyNumberFormat="1" applyBorder="1"/>
    <xf numFmtId="0" fontId="3" fillId="0" borderId="0" xfId="0" applyFont="1" applyBorder="1" applyAlignment="1"/>
    <xf numFmtId="3" fontId="0" fillId="0" borderId="0" xfId="0" applyNumberFormat="1" applyBorder="1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10" fontId="0" fillId="3" borderId="1" xfId="0" applyNumberFormat="1" applyFill="1" applyBorder="1"/>
    <xf numFmtId="9" fontId="0" fillId="3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2236-89C6-4EFE-B34D-5021A0A7AB61}">
  <dimension ref="A1:J24"/>
  <sheetViews>
    <sheetView tabSelected="1" zoomScale="84" workbookViewId="0">
      <selection activeCell="E13" sqref="E13"/>
    </sheetView>
  </sheetViews>
  <sheetFormatPr defaultRowHeight="14.5" x14ac:dyDescent="0.35"/>
  <cols>
    <col min="1" max="1" width="28.36328125" bestFit="1" customWidth="1"/>
    <col min="2" max="2" width="14.36328125" customWidth="1"/>
    <col min="3" max="3" width="14.26953125" customWidth="1"/>
    <col min="4" max="4" width="12.36328125" customWidth="1"/>
    <col min="5" max="9" width="15.08984375" bestFit="1" customWidth="1"/>
    <col min="10" max="10" width="14.08984375" bestFit="1" customWidth="1"/>
  </cols>
  <sheetData>
    <row r="1" spans="1:10" ht="18.5" x14ac:dyDescent="0.45">
      <c r="A1" s="4" t="s">
        <v>14</v>
      </c>
      <c r="B1" s="4"/>
      <c r="C1" s="4"/>
      <c r="D1" s="4"/>
      <c r="E1" s="4"/>
      <c r="F1" s="4"/>
      <c r="G1" s="4"/>
      <c r="H1" s="4"/>
      <c r="I1" s="4"/>
      <c r="J1" s="9"/>
    </row>
    <row r="2" spans="1:10" x14ac:dyDescent="0.35">
      <c r="A2" s="11"/>
      <c r="B2" s="11">
        <v>2022</v>
      </c>
      <c r="C2" s="11">
        <v>2023</v>
      </c>
      <c r="D2" s="11">
        <v>2024</v>
      </c>
      <c r="E2" s="11">
        <v>2025</v>
      </c>
      <c r="F2" s="11">
        <v>2026</v>
      </c>
      <c r="G2" s="11">
        <v>2027</v>
      </c>
      <c r="H2" s="11">
        <v>2028</v>
      </c>
      <c r="I2" s="11">
        <v>2029</v>
      </c>
      <c r="J2" s="10"/>
    </row>
    <row r="3" spans="1:10" x14ac:dyDescent="0.35">
      <c r="A3" s="3" t="s">
        <v>0</v>
      </c>
      <c r="B3" s="6">
        <v>4537158</v>
      </c>
      <c r="C3" s="6">
        <v>4479358</v>
      </c>
      <c r="D3" s="6">
        <v>4706416</v>
      </c>
      <c r="E3" s="6">
        <f>D3*1.025</f>
        <v>4824076.3999999994</v>
      </c>
      <c r="F3" s="6">
        <f>E3*1.025</f>
        <v>4944678.3099999987</v>
      </c>
      <c r="G3" s="6">
        <f t="shared" ref="G3:I3" si="0">F3*1.025</f>
        <v>5068295.2677499978</v>
      </c>
      <c r="H3" s="6">
        <f t="shared" si="0"/>
        <v>5195002.6494437475</v>
      </c>
      <c r="I3" s="6">
        <f t="shared" si="0"/>
        <v>5324877.7156798411</v>
      </c>
      <c r="J3" s="10"/>
    </row>
    <row r="4" spans="1:10" x14ac:dyDescent="0.35">
      <c r="A4" s="2" t="s">
        <v>2</v>
      </c>
      <c r="B4" s="5">
        <v>2888552</v>
      </c>
      <c r="C4" s="5">
        <v>2751941</v>
      </c>
      <c r="D4" s="5">
        <v>2857914</v>
      </c>
      <c r="E4" s="5"/>
      <c r="F4" s="5"/>
      <c r="G4" s="5"/>
      <c r="H4" s="5"/>
      <c r="I4" s="5"/>
      <c r="J4" s="10"/>
    </row>
    <row r="5" spans="1:10" x14ac:dyDescent="0.35">
      <c r="A5" s="2" t="s">
        <v>3</v>
      </c>
      <c r="B5" s="5">
        <v>1648606</v>
      </c>
      <c r="C5" s="5">
        <v>1727417</v>
      </c>
      <c r="D5" s="5">
        <v>1848502</v>
      </c>
      <c r="E5" s="5"/>
      <c r="F5" s="5"/>
      <c r="G5" s="5"/>
      <c r="H5" s="5"/>
      <c r="I5" s="5"/>
      <c r="J5" s="10"/>
    </row>
    <row r="6" spans="1:10" x14ac:dyDescent="0.35">
      <c r="A6" s="2" t="s">
        <v>4</v>
      </c>
      <c r="B6" s="5">
        <v>767925</v>
      </c>
      <c r="C6" s="5">
        <v>819519</v>
      </c>
      <c r="D6" s="5">
        <v>878999</v>
      </c>
      <c r="E6" s="5"/>
      <c r="F6" s="5"/>
      <c r="G6" s="5"/>
      <c r="H6" s="5"/>
      <c r="I6" s="5"/>
      <c r="J6" s="10"/>
    </row>
    <row r="7" spans="1:10" x14ac:dyDescent="0.35">
      <c r="A7" s="3" t="s">
        <v>1</v>
      </c>
      <c r="B7" s="6">
        <v>452263</v>
      </c>
      <c r="C7" s="6">
        <v>519118</v>
      </c>
      <c r="D7" s="6">
        <v>584170</v>
      </c>
      <c r="E7" s="6">
        <f>E3*0.13</f>
        <v>627129.93199999991</v>
      </c>
      <c r="F7" s="6">
        <f>F3*0.13</f>
        <v>642808.18029999989</v>
      </c>
      <c r="G7" s="6">
        <f>G3*0.13</f>
        <v>658878.38480749971</v>
      </c>
      <c r="H7" s="6">
        <f>H3*0.13</f>
        <v>675350.34442768723</v>
      </c>
      <c r="I7" s="6">
        <f>I3*0.13</f>
        <v>692234.10303837934</v>
      </c>
      <c r="J7" s="10"/>
    </row>
    <row r="8" spans="1:10" x14ac:dyDescent="0.35">
      <c r="A8" s="2" t="s">
        <v>8</v>
      </c>
      <c r="B8" s="5"/>
      <c r="C8" s="5"/>
      <c r="D8" s="5"/>
      <c r="E8" s="8">
        <f>1/1.09^1</f>
        <v>0.9174311926605504</v>
      </c>
      <c r="F8" s="8">
        <f>1/1.09^2</f>
        <v>0.84167999326655996</v>
      </c>
      <c r="G8" s="8">
        <f>1/1.09^3</f>
        <v>0.77218348006106419</v>
      </c>
      <c r="H8" s="8">
        <f>1/1.09^4</f>
        <v>0.7084252110651964</v>
      </c>
      <c r="I8" s="8">
        <f>1/1.09^5</f>
        <v>0.64993138629834524</v>
      </c>
      <c r="J8" s="10"/>
    </row>
    <row r="9" spans="1:10" x14ac:dyDescent="0.35">
      <c r="A9" s="2" t="s">
        <v>5</v>
      </c>
      <c r="B9" s="7">
        <f>B5/B3</f>
        <v>0.36335653287807035</v>
      </c>
      <c r="C9" s="7">
        <f>C5/C3</f>
        <v>0.38563941529120915</v>
      </c>
      <c r="D9" s="7">
        <f>D5/D3</f>
        <v>0.39276213577380326</v>
      </c>
      <c r="E9" s="5"/>
      <c r="F9" s="5"/>
      <c r="G9" s="5"/>
      <c r="H9" s="5"/>
      <c r="I9" s="5"/>
      <c r="J9" s="10"/>
    </row>
    <row r="10" spans="1:10" x14ac:dyDescent="0.35">
      <c r="A10" s="2" t="s">
        <v>6</v>
      </c>
      <c r="B10" s="7">
        <f>B6/B3</f>
        <v>0.1692524262985772</v>
      </c>
      <c r="C10" s="7">
        <f>C6/C3</f>
        <v>0.18295456625703951</v>
      </c>
      <c r="D10" s="7">
        <f>D6/D3</f>
        <v>0.18676610822332748</v>
      </c>
      <c r="E10" s="5"/>
      <c r="F10" s="5"/>
      <c r="G10" s="5"/>
      <c r="H10" s="5"/>
      <c r="I10" s="5"/>
      <c r="J10" s="10"/>
    </row>
    <row r="11" spans="1:10" x14ac:dyDescent="0.35">
      <c r="A11" s="2" t="s">
        <v>7</v>
      </c>
      <c r="B11" s="7">
        <f>B7/B3</f>
        <v>9.9679799557344045E-2</v>
      </c>
      <c r="C11" s="7">
        <f>C7/C3</f>
        <v>0.11589116118872392</v>
      </c>
      <c r="D11" s="7">
        <f>D7/D3</f>
        <v>0.12412204955957995</v>
      </c>
      <c r="E11" s="5"/>
      <c r="F11" s="5"/>
      <c r="G11" s="5"/>
      <c r="H11" s="5"/>
      <c r="I11" s="5"/>
      <c r="J11" s="10"/>
    </row>
    <row r="12" spans="1:10" x14ac:dyDescent="0.35">
      <c r="A12" s="2" t="s">
        <v>9</v>
      </c>
      <c r="B12" s="5"/>
      <c r="C12" s="5"/>
      <c r="D12" s="5"/>
      <c r="E12" s="5">
        <f>E7*E8</f>
        <v>575348.56146788981</v>
      </c>
      <c r="F12" s="5">
        <f t="shared" ref="F12:I12" si="1">F7*F8</f>
        <v>541038.78486659355</v>
      </c>
      <c r="G12" s="5">
        <f t="shared" si="1"/>
        <v>508775.00411766814</v>
      </c>
      <c r="H12" s="5">
        <f t="shared" si="1"/>
        <v>478435.21029413742</v>
      </c>
      <c r="I12" s="5">
        <f t="shared" si="1"/>
        <v>449904.67023072543</v>
      </c>
      <c r="J12" s="10"/>
    </row>
    <row r="13" spans="1:10" x14ac:dyDescent="0.35">
      <c r="A13" s="2" t="s">
        <v>10</v>
      </c>
      <c r="B13" s="5">
        <f>SUM(E12:I12)</f>
        <v>2553502.2309770142</v>
      </c>
      <c r="C13" s="5"/>
      <c r="D13" s="5"/>
      <c r="E13" s="5"/>
      <c r="F13" s="5"/>
      <c r="G13" s="5"/>
      <c r="H13" s="5"/>
      <c r="I13" s="5"/>
      <c r="J13" s="10"/>
    </row>
    <row r="14" spans="1:10" x14ac:dyDescent="0.35">
      <c r="A14" s="2" t="s">
        <v>11</v>
      </c>
      <c r="B14" s="5">
        <f>($I$7*1.025)/(0.09-0.025)</f>
        <v>10915999.317143673</v>
      </c>
      <c r="C14" s="5"/>
      <c r="D14" s="5"/>
      <c r="E14" s="5"/>
      <c r="F14" s="5"/>
      <c r="G14" s="5"/>
      <c r="H14" s="5"/>
      <c r="I14" s="5"/>
      <c r="J14" s="10"/>
    </row>
    <row r="15" spans="1:10" x14ac:dyDescent="0.35">
      <c r="A15" s="2" t="s">
        <v>12</v>
      </c>
      <c r="B15" s="5">
        <f>B14*I8</f>
        <v>7094650.5690229777</v>
      </c>
      <c r="C15" s="5"/>
      <c r="D15" s="5"/>
      <c r="E15" s="5"/>
      <c r="F15" s="5"/>
      <c r="G15" s="5"/>
      <c r="H15" s="5"/>
      <c r="I15" s="5"/>
      <c r="J15" s="10"/>
    </row>
    <row r="16" spans="1:10" x14ac:dyDescent="0.35">
      <c r="A16" s="3" t="s">
        <v>13</v>
      </c>
      <c r="B16" s="6">
        <f>B15+B13</f>
        <v>9648152.7999999914</v>
      </c>
      <c r="C16" s="5"/>
      <c r="D16" s="5"/>
      <c r="E16" s="5"/>
      <c r="F16" s="5"/>
      <c r="G16" s="5"/>
      <c r="H16" s="5"/>
      <c r="I16" s="5"/>
      <c r="J16" s="10"/>
    </row>
    <row r="17" spans="1:9" x14ac:dyDescent="0.35">
      <c r="B17" s="1"/>
      <c r="C17" s="1"/>
      <c r="D17" s="1"/>
      <c r="E17" s="1"/>
      <c r="F17" s="1"/>
      <c r="G17" s="1"/>
      <c r="H17" s="1"/>
      <c r="I17" s="1"/>
    </row>
    <row r="20" spans="1:9" x14ac:dyDescent="0.35">
      <c r="A20" s="12" t="s">
        <v>15</v>
      </c>
      <c r="B20" s="13"/>
    </row>
    <row r="21" spans="1:9" x14ac:dyDescent="0.35">
      <c r="A21" s="13" t="s">
        <v>16</v>
      </c>
      <c r="B21" s="14">
        <v>2.5000000000000001E-2</v>
      </c>
    </row>
    <row r="22" spans="1:9" x14ac:dyDescent="0.35">
      <c r="A22" s="13" t="s">
        <v>17</v>
      </c>
      <c r="B22" s="15">
        <v>0.13</v>
      </c>
    </row>
    <row r="23" spans="1:9" x14ac:dyDescent="0.35">
      <c r="A23" s="13" t="s">
        <v>18</v>
      </c>
      <c r="B23" s="15">
        <v>0.09</v>
      </c>
    </row>
    <row r="24" spans="1:9" x14ac:dyDescent="0.35">
      <c r="A24" s="13" t="s">
        <v>19</v>
      </c>
      <c r="B24" s="14">
        <v>2.5000000000000001E-2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Vidhita Jain</dc:creator>
  <cp:lastModifiedBy>Vidhita Jain</cp:lastModifiedBy>
  <dcterms:created xsi:type="dcterms:W3CDTF">2026-06-10T08:37:41Z</dcterms:created>
  <dcterms:modified xsi:type="dcterms:W3CDTF">2026-06-29T13:28:05Z</dcterms:modified>
</cp:coreProperties>
</file>